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17E15BF4-1CA3-4C28-9DAF-E9751296A3EE}" xr6:coauthVersionLast="47" xr6:coauthVersionMax="47" xr10:uidLastSave="{00000000-0000-0000-0000-000000000000}"/>
  <bookViews>
    <workbookView xWindow="-108" yWindow="-108" windowWidth="23256" windowHeight="12456" activeTab="3" xr2:uid="{D6B3598C-191D-496C-AE1A-11D7CD3B710B}"/>
  </bookViews>
  <sheets>
    <sheet name="Raw" sheetId="1" r:id="rId1"/>
    <sheet name="Lookup" sheetId="2" r:id="rId2"/>
    <sheet name="Clean" sheetId="3" r:id="rId3"/>
    <sheet name="Summary" sheetId="4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3" i="4"/>
  <c r="B2" i="4"/>
  <c r="O3" i="3" a="1"/>
  <c r="N3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<sst xmlns="http://schemas.openxmlformats.org/spreadsheetml/2006/main" count="166" uniqueCount="36">
  <si>
    <t>ticket_id</t>
  </si>
  <si>
    <t>month</t>
  </si>
  <si>
    <t>team_id</t>
  </si>
  <si>
    <t>channel</t>
  </si>
  <si>
    <t>resolution_hours</t>
  </si>
  <si>
    <t>satisfaction</t>
  </si>
  <si>
    <t>Jan</t>
  </si>
  <si>
    <t>Feb</t>
  </si>
  <si>
    <t>Mar</t>
  </si>
  <si>
    <t>T1</t>
  </si>
  <si>
    <t>T2</t>
  </si>
  <si>
    <t>T3</t>
  </si>
  <si>
    <t>T4</t>
  </si>
  <si>
    <t>Email</t>
  </si>
  <si>
    <t>Chat</t>
  </si>
  <si>
    <t>Phone</t>
  </si>
  <si>
    <t>team</t>
  </si>
  <si>
    <t>department</t>
  </si>
  <si>
    <t>AccountCare</t>
  </si>
  <si>
    <t>BillingHelp</t>
  </si>
  <si>
    <t>AppSupport</t>
  </si>
  <si>
    <t>DeviceHelp</t>
  </si>
  <si>
    <t>Service</t>
  </si>
  <si>
    <t>Technical</t>
  </si>
  <si>
    <t>BEFORE ROW COUNT :- 13 (WITH DUPLICATE VALUE)</t>
  </si>
  <si>
    <t>AFTER ROW COUNT :- 12 (WITHOUT DUPLICATE VALUE)</t>
  </si>
  <si>
    <t>breach_flag</t>
  </si>
  <si>
    <t>BREACHED TICKETS</t>
  </si>
  <si>
    <t>EMAIL</t>
  </si>
  <si>
    <t>CHAT</t>
  </si>
  <si>
    <t>PHONE</t>
  </si>
  <si>
    <t>PIVOT TABLE</t>
  </si>
  <si>
    <t>Row Labels</t>
  </si>
  <si>
    <t>Grand Total</t>
  </si>
  <si>
    <t>Column Labels</t>
  </si>
  <si>
    <t>Average of resolution_hours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</si>
</sst>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18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/>
    <xf numFmtId="2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0" xfId="0" applyNumberFormat="1"/>
    <xf numFmtId="0" fontId="0" fillId="0" borderId="21" xfId="0" applyBorder="1"/>
    <xf numFmtId="0" fontId="0" fillId="0" borderId="22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2" borderId="0" xfId="0" applyFill="1"/>
    <xf numFmtId="0" fontId="2" fillId="0" borderId="21" xfId="0" applyFont="1" applyFill="1" applyBorder="1" applyAlignment="1">
      <alignment horizontal="center"/>
    </xf>
    <xf numFmtId="0" fontId="2" fillId="0" borderId="25" xfId="0" applyFont="1" applyFill="1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0" fontId="0" fillId="0" borderId="27" xfId="0" pivotButton="1" applyBorder="1" applyAlignment="1">
      <alignment horizontal="center"/>
    </xf>
    <xf numFmtId="0" fontId="0" fillId="0" borderId="28" xfId="0" pivotButton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pivotButton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</cellXfs>
  <cellStyles count="1">
    <cellStyle name="Normal" xfId="0" builtinId="0"/>
  </cellStyles>
  <dxfs count="12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RESOLUTION HOURS BY MONTH AND DEPARTMENT</a:t>
            </a:r>
          </a:p>
        </c:rich>
      </c:tx>
      <c:layout>
        <c:manualLayout>
          <c:xMode val="edge"/>
          <c:yMode val="edge"/>
          <c:x val="0.17928623654793982"/>
          <c:y val="0.108313615888290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Summary!$B$11:$B$12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Summary!$A$13:$A$15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Summary!$B$13:$B$15</c:f>
              <c:numCache>
                <c:formatCode>0.00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1-4628-A6E1-4181AD170DAD}"/>
            </c:ext>
          </c:extLst>
        </c:ser>
        <c:ser>
          <c:idx val="1"/>
          <c:order val="1"/>
          <c:tx>
            <c:strRef>
              <c:f>Summary!$C$11:$C$12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Summary!$A$13:$A$15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Summary!$C$13:$C$15</c:f>
              <c:numCache>
                <c:formatCode>0.00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A1-4628-A6E1-4181AD170DAD}"/>
            </c:ext>
          </c:extLst>
        </c:ser>
        <c:ser>
          <c:idx val="2"/>
          <c:order val="2"/>
          <c:tx>
            <c:strRef>
              <c:f>Summary!$D$11:$D$12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Summary!$A$13:$A$15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Summary!$D$13:$D$15</c:f>
              <c:numCache>
                <c:formatCode>0.00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A1-4628-A6E1-4181AD170D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7538704"/>
        <c:axId val="1979039472"/>
      </c:barChart>
      <c:catAx>
        <c:axId val="5753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039472"/>
        <c:crosses val="autoZero"/>
        <c:auto val="1"/>
        <c:lblAlgn val="ctr"/>
        <c:lblOffset val="100"/>
        <c:noMultiLvlLbl val="0"/>
      </c:catAx>
      <c:valAx>
        <c:axId val="197903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3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33000">
          <a:schemeClr val="accent6">
            <a:lumMod val="10000"/>
            <a:lumOff val="90000"/>
          </a:schemeClr>
        </a:gs>
        <a:gs pos="35000">
          <a:schemeClr val="accent1">
            <a:lumMod val="0"/>
            <a:lumOff val="100000"/>
          </a:schemeClr>
        </a:gs>
        <a:gs pos="100000">
          <a:schemeClr val="accent1">
            <a:lumMod val="100000"/>
          </a:schemeClr>
        </a:gs>
      </a:gsLst>
      <a:path path="shape">
        <a:fillToRect l="50000" t="50000" r="50000" b="50000"/>
      </a:path>
      <a:tileRect/>
    </a:gra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  <a:scene3d>
      <a:camera prst="orthographicFront"/>
      <a:lightRig rig="threePt" dir="t"/>
    </a:scene3d>
    <a:sp3d prstMaterial="matte">
      <a:bevelT w="114300" prst="artDeco"/>
      <a:bevelB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348428</xdr:colOff>
      <xdr:row>1</xdr:row>
      <xdr:rowOff>14172</xdr:rowOff>
    </xdr:from>
    <xdr:to>
      <xdr:col>13</xdr:col>
      <xdr:colOff>330964</xdr:colOff>
      <xdr:row>16</xdr:row>
      <xdr:rowOff>11124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17A740-96A9-322F-7F11-33CE3DD62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" refreshedDate="46298.437261921295" createdVersion="8" refreshedVersion="8" minRefreshableVersion="3" recordCount="12" xr:uid="{75688CBD-ABE0-4045-BC8E-E699F4CDABA9}">
  <cacheSource type="worksheet">
    <worksheetSource ref="H2:O14" sheet="Clean"/>
  </cacheSource>
  <cacheFields count="8">
    <cacheField name="ticket_id" numFmtId="0">
      <sharedItems containsSemiMixedTypes="0" containsString="0" containsNumber="1" containsInteger="1" minValue="1" maxValue="12"/>
    </cacheField>
    <cacheField name="month" numFmtId="49">
      <sharedItems count="3">
        <s v="Jan"/>
        <s v="Feb"/>
        <s v="Mar"/>
      </sharedItems>
    </cacheField>
    <cacheField name="team_id" numFmtId="0">
      <sharedItems/>
    </cacheField>
    <cacheField name="channel" numFmtId="0">
      <sharedItems/>
    </cacheField>
    <cacheField name="resolution_hours" numFmtId="2">
      <sharedItems containsSemiMixedTypes="0" containsString="0" containsNumber="1" containsInteger="1" minValue="8" maxValue="40"/>
    </cacheField>
    <cacheField name="satisfaction" numFmtId="2">
      <sharedItems containsSemiMixedTypes="0" containsString="0" containsNumber="1" containsInteger="1" minValue="2" maxValue="5"/>
    </cacheField>
    <cacheField name="department" numFmtId="0">
      <sharedItems count="2">
        <s v="Service"/>
        <s v="Technical"/>
      </sharedItems>
    </cacheField>
    <cacheField name="breach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T1"/>
    <s v="Email"/>
    <n v="12"/>
    <n v="4"/>
    <x v="0"/>
    <n v="0"/>
  </r>
  <r>
    <n v="2"/>
    <x v="0"/>
    <s v="T2"/>
    <s v="Chat"/>
    <n v="28"/>
    <n v="3"/>
    <x v="0"/>
    <n v="1"/>
  </r>
  <r>
    <n v="3"/>
    <x v="0"/>
    <s v="T3"/>
    <s v="Phone"/>
    <n v="36"/>
    <n v="2"/>
    <x v="1"/>
    <n v="1"/>
  </r>
  <r>
    <n v="4"/>
    <x v="0"/>
    <s v="T4"/>
    <s v="Email"/>
    <n v="20"/>
    <n v="4"/>
    <x v="1"/>
    <n v="0"/>
  </r>
  <r>
    <n v="5"/>
    <x v="1"/>
    <s v="T1"/>
    <s v="Chat"/>
    <n v="8"/>
    <n v="5"/>
    <x v="0"/>
    <n v="0"/>
  </r>
  <r>
    <n v="6"/>
    <x v="1"/>
    <s v="T2"/>
    <s v="Phone"/>
    <n v="30"/>
    <n v="3"/>
    <x v="0"/>
    <n v="1"/>
  </r>
  <r>
    <n v="7"/>
    <x v="1"/>
    <s v="T3"/>
    <s v="Email"/>
    <n v="18"/>
    <n v="4"/>
    <x v="1"/>
    <n v="0"/>
  </r>
  <r>
    <n v="8"/>
    <x v="1"/>
    <s v="T4"/>
    <s v="Chat"/>
    <n v="40"/>
    <n v="2"/>
    <x v="1"/>
    <n v="1"/>
  </r>
  <r>
    <n v="9"/>
    <x v="2"/>
    <s v="T1"/>
    <s v="Phone"/>
    <n v="16"/>
    <n v="4"/>
    <x v="0"/>
    <n v="0"/>
  </r>
  <r>
    <n v="10"/>
    <x v="2"/>
    <s v="T2"/>
    <s v="Email"/>
    <n v="22"/>
    <n v="4"/>
    <x v="0"/>
    <n v="0"/>
  </r>
  <r>
    <n v="11"/>
    <x v="2"/>
    <s v="T3"/>
    <s v="Chat"/>
    <n v="32"/>
    <n v="3"/>
    <x v="1"/>
    <n v="1"/>
  </r>
  <r>
    <n v="12"/>
    <x v="2"/>
    <s v="T4"/>
    <s v="Phone"/>
    <n v="24"/>
    <n v="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F59BF-AD90-4475-BDC2-5C38091E67D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11:E15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numFmtId="2"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resolution_hours" fld="4" subtotal="average" baseField="0" baseItem="0" numFmtId="2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1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6" type="button" dataOnly="0" labelOnly="1" outline="0" axis="axisRow" fieldPosition="0"/>
    </format>
    <format dxfId="4">
      <pivotArea dataOnly="0" labelOnly="1" fieldPosition="0">
        <references count="1">
          <reference field="6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Col="1" outline="0" fieldPosition="0"/>
    </format>
    <format dxfId="0">
      <pivotArea type="all" dataOnly="0" outline="0" fieldPosition="0"/>
    </format>
  </formats>
  <chartFormats count="3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B400-296B-46E8-8765-83F9B732A51F}">
  <dimension ref="A1:F14"/>
  <sheetViews>
    <sheetView workbookViewId="0">
      <selection sqref="A1:F14"/>
    </sheetView>
  </sheetViews>
  <sheetFormatPr defaultRowHeight="14.4" x14ac:dyDescent="0.3"/>
  <cols>
    <col min="1" max="1" width="10.44140625" customWidth="1"/>
    <col min="2" max="2" width="10.33203125" customWidth="1"/>
    <col min="3" max="3" width="11.44140625" customWidth="1"/>
    <col min="4" max="4" width="11.109375" customWidth="1"/>
    <col min="5" max="5" width="17.21875" customWidth="1"/>
    <col min="6" max="6" width="13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9</v>
      </c>
      <c r="D2" s="1" t="s">
        <v>13</v>
      </c>
      <c r="E2" s="1">
        <v>12</v>
      </c>
      <c r="F2" s="1">
        <v>4</v>
      </c>
    </row>
    <row r="3" spans="1:6" x14ac:dyDescent="0.3">
      <c r="A3" s="1">
        <v>2</v>
      </c>
      <c r="B3" s="1" t="s">
        <v>6</v>
      </c>
      <c r="C3" s="1" t="s">
        <v>10</v>
      </c>
      <c r="D3" s="1" t="s">
        <v>14</v>
      </c>
      <c r="E3" s="1">
        <v>28</v>
      </c>
      <c r="F3" s="1">
        <v>3</v>
      </c>
    </row>
    <row r="4" spans="1:6" x14ac:dyDescent="0.3">
      <c r="A4" s="1">
        <v>3</v>
      </c>
      <c r="B4" s="1" t="s">
        <v>6</v>
      </c>
      <c r="C4" s="1" t="s">
        <v>11</v>
      </c>
      <c r="D4" s="1" t="s">
        <v>15</v>
      </c>
      <c r="E4" s="1">
        <v>36</v>
      </c>
      <c r="F4" s="1">
        <v>2</v>
      </c>
    </row>
    <row r="5" spans="1:6" x14ac:dyDescent="0.3">
      <c r="A5" s="1">
        <v>4</v>
      </c>
      <c r="B5" s="1" t="s">
        <v>6</v>
      </c>
      <c r="C5" s="1" t="s">
        <v>12</v>
      </c>
      <c r="D5" s="1" t="s">
        <v>13</v>
      </c>
      <c r="E5" s="1">
        <v>20</v>
      </c>
      <c r="F5" s="1">
        <v>4</v>
      </c>
    </row>
    <row r="6" spans="1:6" x14ac:dyDescent="0.3">
      <c r="A6" s="1">
        <v>5</v>
      </c>
      <c r="B6" s="1" t="s">
        <v>7</v>
      </c>
      <c r="C6" s="1" t="s">
        <v>9</v>
      </c>
      <c r="D6" s="1" t="s">
        <v>14</v>
      </c>
      <c r="E6" s="1">
        <v>8</v>
      </c>
      <c r="F6" s="1">
        <v>5</v>
      </c>
    </row>
    <row r="7" spans="1:6" x14ac:dyDescent="0.3">
      <c r="A7" s="1">
        <v>6</v>
      </c>
      <c r="B7" s="1" t="s">
        <v>7</v>
      </c>
      <c r="C7" s="1" t="s">
        <v>10</v>
      </c>
      <c r="D7" s="1" t="s">
        <v>15</v>
      </c>
      <c r="E7" s="1">
        <v>30</v>
      </c>
      <c r="F7" s="1">
        <v>3</v>
      </c>
    </row>
    <row r="8" spans="1:6" x14ac:dyDescent="0.3">
      <c r="A8" s="1">
        <v>7</v>
      </c>
      <c r="B8" s="1" t="s">
        <v>7</v>
      </c>
      <c r="C8" s="1" t="s">
        <v>11</v>
      </c>
      <c r="D8" s="1" t="s">
        <v>13</v>
      </c>
      <c r="E8" s="1">
        <v>18</v>
      </c>
      <c r="F8" s="1">
        <v>4</v>
      </c>
    </row>
    <row r="9" spans="1:6" x14ac:dyDescent="0.3">
      <c r="A9" s="1">
        <v>8</v>
      </c>
      <c r="B9" s="1" t="s">
        <v>7</v>
      </c>
      <c r="C9" s="1" t="s">
        <v>12</v>
      </c>
      <c r="D9" s="1" t="s">
        <v>14</v>
      </c>
      <c r="E9" s="1">
        <v>40</v>
      </c>
      <c r="F9" s="1">
        <v>2</v>
      </c>
    </row>
    <row r="10" spans="1:6" x14ac:dyDescent="0.3">
      <c r="A10" s="1">
        <v>9</v>
      </c>
      <c r="B10" s="1" t="s">
        <v>8</v>
      </c>
      <c r="C10" s="1" t="s">
        <v>9</v>
      </c>
      <c r="D10" s="1" t="s">
        <v>15</v>
      </c>
      <c r="E10" s="1">
        <v>16</v>
      </c>
      <c r="F10" s="1">
        <v>4</v>
      </c>
    </row>
    <row r="11" spans="1:6" x14ac:dyDescent="0.3">
      <c r="A11" s="1">
        <v>10</v>
      </c>
      <c r="B11" s="1" t="s">
        <v>8</v>
      </c>
      <c r="C11" s="1" t="s">
        <v>10</v>
      </c>
      <c r="D11" s="1" t="s">
        <v>13</v>
      </c>
      <c r="E11" s="1">
        <v>22</v>
      </c>
      <c r="F11" s="1">
        <v>4</v>
      </c>
    </row>
    <row r="12" spans="1:6" x14ac:dyDescent="0.3">
      <c r="A12" s="1">
        <v>11</v>
      </c>
      <c r="B12" s="1" t="s">
        <v>8</v>
      </c>
      <c r="C12" s="1" t="s">
        <v>11</v>
      </c>
      <c r="D12" s="1" t="s">
        <v>14</v>
      </c>
      <c r="E12" s="1">
        <v>32</v>
      </c>
      <c r="F12" s="1">
        <v>3</v>
      </c>
    </row>
    <row r="13" spans="1:6" x14ac:dyDescent="0.3">
      <c r="A13" s="1">
        <v>12</v>
      </c>
      <c r="B13" s="1" t="s">
        <v>8</v>
      </c>
      <c r="C13" s="1" t="s">
        <v>12</v>
      </c>
      <c r="D13" s="1" t="s">
        <v>15</v>
      </c>
      <c r="E13" s="1">
        <v>24</v>
      </c>
      <c r="F13" s="1">
        <v>5</v>
      </c>
    </row>
    <row r="14" spans="1:6" x14ac:dyDescent="0.3">
      <c r="A14" s="1">
        <v>12</v>
      </c>
      <c r="B14" s="1" t="s">
        <v>8</v>
      </c>
      <c r="C14" s="1" t="s">
        <v>12</v>
      </c>
      <c r="D14" s="1" t="s">
        <v>15</v>
      </c>
      <c r="E14" s="1">
        <v>24</v>
      </c>
      <c r="F14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7F1E-E268-4179-AE0B-929B80E06A29}">
  <dimension ref="A1:C5"/>
  <sheetViews>
    <sheetView workbookViewId="0">
      <selection activeCell="D11" sqref="D11"/>
    </sheetView>
  </sheetViews>
  <sheetFormatPr defaultRowHeight="14.4" x14ac:dyDescent="0.3"/>
  <cols>
    <col min="2" max="2" width="13.21875" customWidth="1"/>
    <col min="3" max="3" width="14.109375" customWidth="1"/>
  </cols>
  <sheetData>
    <row r="1" spans="1:3" x14ac:dyDescent="0.3">
      <c r="A1" s="1" t="s">
        <v>2</v>
      </c>
      <c r="B1" s="1" t="s">
        <v>16</v>
      </c>
      <c r="C1" s="1" t="s">
        <v>17</v>
      </c>
    </row>
    <row r="2" spans="1:3" x14ac:dyDescent="0.3">
      <c r="A2" s="1" t="s">
        <v>9</v>
      </c>
      <c r="B2" s="1" t="s">
        <v>18</v>
      </c>
      <c r="C2" s="1" t="s">
        <v>22</v>
      </c>
    </row>
    <row r="3" spans="1:3" x14ac:dyDescent="0.3">
      <c r="A3" s="1" t="s">
        <v>10</v>
      </c>
      <c r="B3" s="1" t="s">
        <v>19</v>
      </c>
      <c r="C3" s="1" t="s">
        <v>22</v>
      </c>
    </row>
    <row r="4" spans="1:3" x14ac:dyDescent="0.3">
      <c r="A4" s="1" t="s">
        <v>11</v>
      </c>
      <c r="B4" s="1" t="s">
        <v>20</v>
      </c>
      <c r="C4" s="1" t="s">
        <v>23</v>
      </c>
    </row>
    <row r="5" spans="1:3" x14ac:dyDescent="0.3">
      <c r="A5" s="1" t="s">
        <v>12</v>
      </c>
      <c r="B5" s="1" t="s">
        <v>21</v>
      </c>
      <c r="C5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5027-CAED-4733-8A0D-0833A398540F}">
  <dimension ref="A1:O15"/>
  <sheetViews>
    <sheetView workbookViewId="0">
      <selection activeCell="H2" sqref="H2:O14"/>
    </sheetView>
  </sheetViews>
  <sheetFormatPr defaultRowHeight="14.4" x14ac:dyDescent="0.3"/>
  <cols>
    <col min="5" max="5" width="16" customWidth="1"/>
    <col min="6" max="6" width="12.5546875" customWidth="1"/>
    <col min="9" max="9" width="8.88671875" style="28"/>
    <col min="12" max="12" width="14.88671875" style="21" customWidth="1"/>
    <col min="13" max="13" width="12" style="21" customWidth="1"/>
    <col min="14" max="14" width="13" customWidth="1"/>
    <col min="15" max="15" width="12.6640625" style="1" customWidth="1"/>
  </cols>
  <sheetData>
    <row r="1" spans="1:15" ht="15" thickBot="1" x14ac:dyDescent="0.35">
      <c r="A1" s="12" t="s">
        <v>24</v>
      </c>
      <c r="B1" s="13"/>
      <c r="C1" s="13"/>
      <c r="D1" s="13"/>
      <c r="E1" s="13"/>
      <c r="F1" s="14"/>
      <c r="H1" s="12" t="s">
        <v>25</v>
      </c>
      <c r="I1" s="13"/>
      <c r="J1" s="13"/>
      <c r="K1" s="13"/>
      <c r="L1" s="13"/>
      <c r="M1" s="15"/>
      <c r="N1" s="29"/>
      <c r="O1" s="33"/>
    </row>
    <row r="2" spans="1:15" x14ac:dyDescent="0.3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H2" s="9" t="s">
        <v>0</v>
      </c>
      <c r="I2" s="25" t="s">
        <v>1</v>
      </c>
      <c r="J2" s="10" t="s">
        <v>2</v>
      </c>
      <c r="K2" s="10" t="s">
        <v>3</v>
      </c>
      <c r="L2" s="18" t="s">
        <v>4</v>
      </c>
      <c r="M2" s="22" t="s">
        <v>5</v>
      </c>
      <c r="N2" s="30" t="s">
        <v>17</v>
      </c>
      <c r="O2" s="16" t="s">
        <v>26</v>
      </c>
    </row>
    <row r="3" spans="1:15" x14ac:dyDescent="0.3">
      <c r="A3" s="4">
        <v>1</v>
      </c>
      <c r="B3" s="3" t="s">
        <v>6</v>
      </c>
      <c r="C3" s="3" t="s">
        <v>9</v>
      </c>
      <c r="D3" s="3" t="s">
        <v>13</v>
      </c>
      <c r="E3" s="3">
        <v>12</v>
      </c>
      <c r="F3" s="5">
        <v>4</v>
      </c>
      <c r="H3" s="4">
        <v>1</v>
      </c>
      <c r="I3" s="26" t="s">
        <v>6</v>
      </c>
      <c r="J3" s="3" t="s">
        <v>9</v>
      </c>
      <c r="K3" s="3" t="s">
        <v>13</v>
      </c>
      <c r="L3" s="19">
        <v>12</v>
      </c>
      <c r="M3" s="23">
        <v>4</v>
      </c>
      <c r="N3" s="31" t="str" cm="1">
        <f t="array" ref="N3:N14">_xlfn.XLOOKUP(J3:J14,Lookup!A2:A5,Lookup!C2:C5)</f>
        <v>Service</v>
      </c>
      <c r="O3" s="17" cm="1">
        <f t="array" ref="O3:O14">IF(L3:L14&gt;24,1,0)</f>
        <v>0</v>
      </c>
    </row>
    <row r="4" spans="1:15" x14ac:dyDescent="0.3">
      <c r="A4" s="4">
        <v>2</v>
      </c>
      <c r="B4" s="3" t="s">
        <v>6</v>
      </c>
      <c r="C4" s="3" t="s">
        <v>10</v>
      </c>
      <c r="D4" s="3" t="s">
        <v>14</v>
      </c>
      <c r="E4" s="3">
        <v>28</v>
      </c>
      <c r="F4" s="5">
        <v>3</v>
      </c>
      <c r="H4" s="4">
        <v>2</v>
      </c>
      <c r="I4" s="26" t="s">
        <v>6</v>
      </c>
      <c r="J4" s="3" t="s">
        <v>10</v>
      </c>
      <c r="K4" s="3" t="s">
        <v>14</v>
      </c>
      <c r="L4" s="19">
        <v>28</v>
      </c>
      <c r="M4" s="23">
        <v>3</v>
      </c>
      <c r="N4" s="31" t="str">
        <v>Service</v>
      </c>
      <c r="O4" s="17">
        <v>1</v>
      </c>
    </row>
    <row r="5" spans="1:15" x14ac:dyDescent="0.3">
      <c r="A5" s="4">
        <v>3</v>
      </c>
      <c r="B5" s="3" t="s">
        <v>6</v>
      </c>
      <c r="C5" s="3" t="s">
        <v>11</v>
      </c>
      <c r="D5" s="3" t="s">
        <v>15</v>
      </c>
      <c r="E5" s="3">
        <v>36</v>
      </c>
      <c r="F5" s="5">
        <v>2</v>
      </c>
      <c r="H5" s="4">
        <v>3</v>
      </c>
      <c r="I5" s="26" t="s">
        <v>6</v>
      </c>
      <c r="J5" s="3" t="s">
        <v>11</v>
      </c>
      <c r="K5" s="3" t="s">
        <v>15</v>
      </c>
      <c r="L5" s="19">
        <v>36</v>
      </c>
      <c r="M5" s="23">
        <v>2</v>
      </c>
      <c r="N5" s="31" t="str">
        <v>Technical</v>
      </c>
      <c r="O5" s="17">
        <v>1</v>
      </c>
    </row>
    <row r="6" spans="1:15" x14ac:dyDescent="0.3">
      <c r="A6" s="4">
        <v>4</v>
      </c>
      <c r="B6" s="3" t="s">
        <v>6</v>
      </c>
      <c r="C6" s="3" t="s">
        <v>12</v>
      </c>
      <c r="D6" s="3" t="s">
        <v>13</v>
      </c>
      <c r="E6" s="3">
        <v>20</v>
      </c>
      <c r="F6" s="5">
        <v>4</v>
      </c>
      <c r="H6" s="4">
        <v>4</v>
      </c>
      <c r="I6" s="26" t="s">
        <v>6</v>
      </c>
      <c r="J6" s="3" t="s">
        <v>12</v>
      </c>
      <c r="K6" s="3" t="s">
        <v>13</v>
      </c>
      <c r="L6" s="19">
        <v>20</v>
      </c>
      <c r="M6" s="23">
        <v>4</v>
      </c>
      <c r="N6" s="31" t="str">
        <v>Technical</v>
      </c>
      <c r="O6" s="17">
        <v>0</v>
      </c>
    </row>
    <row r="7" spans="1:15" x14ac:dyDescent="0.3">
      <c r="A7" s="4">
        <v>5</v>
      </c>
      <c r="B7" s="3" t="s">
        <v>7</v>
      </c>
      <c r="C7" s="3" t="s">
        <v>9</v>
      </c>
      <c r="D7" s="3" t="s">
        <v>14</v>
      </c>
      <c r="E7" s="3">
        <v>8</v>
      </c>
      <c r="F7" s="5">
        <v>5</v>
      </c>
      <c r="H7" s="4">
        <v>5</v>
      </c>
      <c r="I7" s="26" t="s">
        <v>7</v>
      </c>
      <c r="J7" s="3" t="s">
        <v>9</v>
      </c>
      <c r="K7" s="3" t="s">
        <v>14</v>
      </c>
      <c r="L7" s="19">
        <v>8</v>
      </c>
      <c r="M7" s="23">
        <v>5</v>
      </c>
      <c r="N7" s="31" t="str">
        <v>Service</v>
      </c>
      <c r="O7" s="17">
        <v>0</v>
      </c>
    </row>
    <row r="8" spans="1:15" x14ac:dyDescent="0.3">
      <c r="A8" s="4">
        <v>6</v>
      </c>
      <c r="B8" s="3" t="s">
        <v>7</v>
      </c>
      <c r="C8" s="3" t="s">
        <v>10</v>
      </c>
      <c r="D8" s="3" t="s">
        <v>15</v>
      </c>
      <c r="E8" s="3">
        <v>30</v>
      </c>
      <c r="F8" s="5">
        <v>3</v>
      </c>
      <c r="H8" s="4">
        <v>6</v>
      </c>
      <c r="I8" s="26" t="s">
        <v>7</v>
      </c>
      <c r="J8" s="3" t="s">
        <v>10</v>
      </c>
      <c r="K8" s="3" t="s">
        <v>15</v>
      </c>
      <c r="L8" s="19">
        <v>30</v>
      </c>
      <c r="M8" s="23">
        <v>3</v>
      </c>
      <c r="N8" s="31" t="str">
        <v>Service</v>
      </c>
      <c r="O8" s="17">
        <v>1</v>
      </c>
    </row>
    <row r="9" spans="1:15" x14ac:dyDescent="0.3">
      <c r="A9" s="4">
        <v>7</v>
      </c>
      <c r="B9" s="3" t="s">
        <v>7</v>
      </c>
      <c r="C9" s="3" t="s">
        <v>11</v>
      </c>
      <c r="D9" s="3" t="s">
        <v>13</v>
      </c>
      <c r="E9" s="3">
        <v>18</v>
      </c>
      <c r="F9" s="5">
        <v>4</v>
      </c>
      <c r="H9" s="4">
        <v>7</v>
      </c>
      <c r="I9" s="26" t="s">
        <v>7</v>
      </c>
      <c r="J9" s="3" t="s">
        <v>11</v>
      </c>
      <c r="K9" s="3" t="s">
        <v>13</v>
      </c>
      <c r="L9" s="19">
        <v>18</v>
      </c>
      <c r="M9" s="23">
        <v>4</v>
      </c>
      <c r="N9" s="31" t="str">
        <v>Technical</v>
      </c>
      <c r="O9" s="17">
        <v>0</v>
      </c>
    </row>
    <row r="10" spans="1:15" x14ac:dyDescent="0.3">
      <c r="A10" s="4">
        <v>8</v>
      </c>
      <c r="B10" s="3" t="s">
        <v>7</v>
      </c>
      <c r="C10" s="3" t="s">
        <v>12</v>
      </c>
      <c r="D10" s="3" t="s">
        <v>14</v>
      </c>
      <c r="E10" s="3">
        <v>40</v>
      </c>
      <c r="F10" s="5">
        <v>2</v>
      </c>
      <c r="H10" s="4">
        <v>8</v>
      </c>
      <c r="I10" s="26" t="s">
        <v>7</v>
      </c>
      <c r="J10" s="3" t="s">
        <v>12</v>
      </c>
      <c r="K10" s="3" t="s">
        <v>14</v>
      </c>
      <c r="L10" s="19">
        <v>40</v>
      </c>
      <c r="M10" s="23">
        <v>2</v>
      </c>
      <c r="N10" s="31" t="str">
        <v>Technical</v>
      </c>
      <c r="O10" s="17">
        <v>1</v>
      </c>
    </row>
    <row r="11" spans="1:15" x14ac:dyDescent="0.3">
      <c r="A11" s="4">
        <v>9</v>
      </c>
      <c r="B11" s="3" t="s">
        <v>8</v>
      </c>
      <c r="C11" s="3" t="s">
        <v>9</v>
      </c>
      <c r="D11" s="3" t="s">
        <v>15</v>
      </c>
      <c r="E11" s="3">
        <v>16</v>
      </c>
      <c r="F11" s="5">
        <v>4</v>
      </c>
      <c r="H11" s="4">
        <v>9</v>
      </c>
      <c r="I11" s="26" t="s">
        <v>8</v>
      </c>
      <c r="J11" s="3" t="s">
        <v>9</v>
      </c>
      <c r="K11" s="3" t="s">
        <v>15</v>
      </c>
      <c r="L11" s="19">
        <v>16</v>
      </c>
      <c r="M11" s="23">
        <v>4</v>
      </c>
      <c r="N11" s="31" t="str">
        <v>Service</v>
      </c>
      <c r="O11" s="17">
        <v>0</v>
      </c>
    </row>
    <row r="12" spans="1:15" x14ac:dyDescent="0.3">
      <c r="A12" s="4">
        <v>10</v>
      </c>
      <c r="B12" s="3" t="s">
        <v>8</v>
      </c>
      <c r="C12" s="3" t="s">
        <v>10</v>
      </c>
      <c r="D12" s="3" t="s">
        <v>13</v>
      </c>
      <c r="E12" s="3">
        <v>22</v>
      </c>
      <c r="F12" s="5">
        <v>4</v>
      </c>
      <c r="H12" s="4">
        <v>10</v>
      </c>
      <c r="I12" s="26" t="s">
        <v>8</v>
      </c>
      <c r="J12" s="3" t="s">
        <v>10</v>
      </c>
      <c r="K12" s="3" t="s">
        <v>13</v>
      </c>
      <c r="L12" s="19">
        <v>22</v>
      </c>
      <c r="M12" s="23">
        <v>4</v>
      </c>
      <c r="N12" s="31" t="str">
        <v>Service</v>
      </c>
      <c r="O12" s="17">
        <v>0</v>
      </c>
    </row>
    <row r="13" spans="1:15" x14ac:dyDescent="0.3">
      <c r="A13" s="4">
        <v>11</v>
      </c>
      <c r="B13" s="3" t="s">
        <v>8</v>
      </c>
      <c r="C13" s="3" t="s">
        <v>11</v>
      </c>
      <c r="D13" s="3" t="s">
        <v>14</v>
      </c>
      <c r="E13" s="3">
        <v>32</v>
      </c>
      <c r="F13" s="5">
        <v>3</v>
      </c>
      <c r="H13" s="4">
        <v>11</v>
      </c>
      <c r="I13" s="26" t="s">
        <v>8</v>
      </c>
      <c r="J13" s="3" t="s">
        <v>11</v>
      </c>
      <c r="K13" s="3" t="s">
        <v>14</v>
      </c>
      <c r="L13" s="19">
        <v>32</v>
      </c>
      <c r="M13" s="23">
        <v>3</v>
      </c>
      <c r="N13" s="31" t="str">
        <v>Technical</v>
      </c>
      <c r="O13" s="17">
        <v>1</v>
      </c>
    </row>
    <row r="14" spans="1:15" x14ac:dyDescent="0.3">
      <c r="A14" s="4">
        <v>12</v>
      </c>
      <c r="B14" s="3" t="s">
        <v>8</v>
      </c>
      <c r="C14" s="3" t="s">
        <v>12</v>
      </c>
      <c r="D14" s="3" t="s">
        <v>15</v>
      </c>
      <c r="E14" s="3">
        <v>24</v>
      </c>
      <c r="F14" s="5">
        <v>5</v>
      </c>
      <c r="H14" s="4">
        <v>12</v>
      </c>
      <c r="I14" s="26" t="s">
        <v>8</v>
      </c>
      <c r="J14" s="3" t="s">
        <v>12</v>
      </c>
      <c r="K14" s="3" t="s">
        <v>15</v>
      </c>
      <c r="L14" s="19">
        <v>24</v>
      </c>
      <c r="M14" s="23">
        <v>5</v>
      </c>
      <c r="N14" s="31" t="str">
        <v>Technical</v>
      </c>
      <c r="O14" s="17">
        <v>0</v>
      </c>
    </row>
    <row r="15" spans="1:15" ht="15" thickBot="1" x14ac:dyDescent="0.35">
      <c r="A15" s="6">
        <v>12</v>
      </c>
      <c r="B15" s="7" t="s">
        <v>8</v>
      </c>
      <c r="C15" s="7" t="s">
        <v>12</v>
      </c>
      <c r="D15" s="7" t="s">
        <v>15</v>
      </c>
      <c r="E15" s="7">
        <v>24</v>
      </c>
      <c r="F15" s="8">
        <v>5</v>
      </c>
      <c r="H15" s="6"/>
      <c r="I15" s="27"/>
      <c r="J15" s="7"/>
      <c r="K15" s="7"/>
      <c r="L15" s="20"/>
      <c r="M15" s="24"/>
      <c r="N15" s="32"/>
      <c r="O15" s="34"/>
    </row>
  </sheetData>
  <mergeCells count="2">
    <mergeCell ref="A1:F1"/>
    <mergeCell ref="H1:M1"/>
  </mergeCells>
  <conditionalFormatting sqref="A14:F15">
    <cfRule type="duplicateValues" dxfId="1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5E5B-CB8C-4B63-97CA-A5B4BBDC0182}">
  <dimension ref="A1:O20"/>
  <sheetViews>
    <sheetView showGridLines="0" tabSelected="1" zoomScale="137" workbookViewId="0">
      <selection activeCell="D8" sqref="D8"/>
    </sheetView>
  </sheetViews>
  <sheetFormatPr defaultRowHeight="14.4" x14ac:dyDescent="0.3"/>
  <cols>
    <col min="1" max="1" width="23.77734375" bestFit="1" customWidth="1"/>
    <col min="2" max="2" width="17" customWidth="1"/>
    <col min="3" max="3" width="8.33203125" customWidth="1"/>
    <col min="4" max="4" width="9.77734375" customWidth="1"/>
    <col min="5" max="5" width="10.5546875" bestFit="1" customWidth="1"/>
  </cols>
  <sheetData>
    <row r="1" spans="1:15" ht="18.600000000000001" thickBot="1" x14ac:dyDescent="0.4">
      <c r="A1" s="40" t="s">
        <v>27</v>
      </c>
      <c r="B1" s="41"/>
      <c r="C1" s="42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x14ac:dyDescent="0.3">
      <c r="A2" s="9" t="s">
        <v>28</v>
      </c>
      <c r="B2" s="38">
        <f>COUNTIFS(Clean!K3:K14, "Email", Clean!O3:O14,1)</f>
        <v>0</v>
      </c>
      <c r="C2" s="39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x14ac:dyDescent="0.3">
      <c r="A3" s="4" t="s">
        <v>29</v>
      </c>
      <c r="B3" s="2">
        <f>COUNTIFS(Clean!K3:K14, "Chat", Clean!O3:O14,1)</f>
        <v>3</v>
      </c>
      <c r="C3" s="35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15" ht="15" thickBot="1" x14ac:dyDescent="0.35">
      <c r="A4" s="6" t="s">
        <v>30</v>
      </c>
      <c r="B4" s="36">
        <f>COUNTIFS(Clean!K3:K14, "Phone", Clean!O3:O14,1)</f>
        <v>2</v>
      </c>
      <c r="C4" s="37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</row>
    <row r="5" spans="1:15" x14ac:dyDescent="0.3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</row>
    <row r="6" spans="1:15" ht="15" thickBot="1" x14ac:dyDescent="0.3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</row>
    <row r="7" spans="1:15" ht="34.200000000000003" thickBot="1" x14ac:dyDescent="0.7">
      <c r="A7" s="44" t="s">
        <v>31</v>
      </c>
      <c r="B7" s="45"/>
      <c r="C7" s="46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</row>
    <row r="8" spans="1:15" x14ac:dyDescent="0.3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 x14ac:dyDescent="0.3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</row>
    <row r="10" spans="1:15" ht="15" thickBot="1" x14ac:dyDescent="0.3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</row>
    <row r="11" spans="1:15" x14ac:dyDescent="0.3">
      <c r="A11" s="47" t="s">
        <v>35</v>
      </c>
      <c r="B11" s="48" t="s">
        <v>34</v>
      </c>
      <c r="C11" s="49"/>
      <c r="D11" s="49"/>
      <c r="E11" s="50"/>
      <c r="F11" s="43"/>
      <c r="G11" s="43"/>
      <c r="H11" s="43"/>
      <c r="I11" s="43"/>
      <c r="J11" s="43"/>
      <c r="K11" s="43"/>
      <c r="L11" s="43"/>
      <c r="M11" s="43"/>
      <c r="N11" s="43"/>
      <c r="O11" s="43"/>
    </row>
    <row r="12" spans="1:15" x14ac:dyDescent="0.3">
      <c r="A12" s="51" t="s">
        <v>32</v>
      </c>
      <c r="B12" s="52" t="s">
        <v>6</v>
      </c>
      <c r="C12" s="52" t="s">
        <v>7</v>
      </c>
      <c r="D12" s="52" t="s">
        <v>8</v>
      </c>
      <c r="E12" s="53" t="s">
        <v>33</v>
      </c>
      <c r="F12" s="43"/>
      <c r="G12" s="43"/>
      <c r="H12" s="43"/>
      <c r="I12" s="43"/>
      <c r="J12" s="43"/>
      <c r="K12" s="43"/>
      <c r="L12" s="43"/>
      <c r="M12" s="43"/>
      <c r="N12" s="43"/>
      <c r="O12" s="43"/>
    </row>
    <row r="13" spans="1:15" x14ac:dyDescent="0.3">
      <c r="A13" s="54" t="s">
        <v>22</v>
      </c>
      <c r="B13" s="55">
        <v>20</v>
      </c>
      <c r="C13" s="55">
        <v>19</v>
      </c>
      <c r="D13" s="55">
        <v>19</v>
      </c>
      <c r="E13" s="56">
        <v>19.333333333333332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</row>
    <row r="14" spans="1:15" x14ac:dyDescent="0.3">
      <c r="A14" s="54" t="s">
        <v>23</v>
      </c>
      <c r="B14" s="55">
        <v>28</v>
      </c>
      <c r="C14" s="55">
        <v>29</v>
      </c>
      <c r="D14" s="55">
        <v>28</v>
      </c>
      <c r="E14" s="56">
        <v>28.333333333333332</v>
      </c>
      <c r="F14" s="43"/>
      <c r="G14" s="43"/>
      <c r="H14" s="43"/>
      <c r="I14" s="43"/>
      <c r="J14" s="43"/>
      <c r="K14" s="43"/>
      <c r="L14" s="43"/>
      <c r="M14" s="43"/>
      <c r="N14" s="43"/>
      <c r="O14" s="43"/>
    </row>
    <row r="15" spans="1:15" ht="15" thickBot="1" x14ac:dyDescent="0.35">
      <c r="A15" s="57" t="s">
        <v>33</v>
      </c>
      <c r="B15" s="58">
        <v>24</v>
      </c>
      <c r="C15" s="58">
        <v>24</v>
      </c>
      <c r="D15" s="58">
        <v>23.5</v>
      </c>
      <c r="E15" s="59">
        <v>23.833333333333332</v>
      </c>
      <c r="F15" s="43"/>
      <c r="G15" s="43"/>
      <c r="H15" s="43"/>
      <c r="I15" s="43"/>
      <c r="J15" s="43"/>
      <c r="K15" s="43"/>
      <c r="L15" s="43"/>
      <c r="M15" s="43"/>
      <c r="N15" s="43"/>
      <c r="O15" s="43"/>
    </row>
    <row r="16" spans="1:15" x14ac:dyDescent="0.3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</row>
    <row r="17" spans="1:15" x14ac:dyDescent="0.3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</row>
    <row r="18" spans="1:15" x14ac:dyDescent="0.3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</row>
    <row r="19" spans="1:15" x14ac:dyDescent="0.3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</row>
    <row r="20" spans="1:15" x14ac:dyDescent="0.3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</row>
  </sheetData>
  <mergeCells count="5">
    <mergeCell ref="A1:C1"/>
    <mergeCell ref="B2:C2"/>
    <mergeCell ref="B3:C3"/>
    <mergeCell ref="B4:C4"/>
    <mergeCell ref="A7:C7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guptarajubhai636@gmail.com</dc:creator>
  <cp:lastModifiedBy>guptarajubhai636@gmail.com</cp:lastModifiedBy>
  <dcterms:created xsi:type="dcterms:W3CDTF">2026-10-03T04:36:01Z</dcterms:created>
  <dcterms:modified xsi:type="dcterms:W3CDTF">2026-10-03T05:15:20Z</dcterms:modified>
</cp:coreProperties>
</file>